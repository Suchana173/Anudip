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dip\All Lab\"/>
    </mc:Choice>
  </mc:AlternateContent>
  <xr:revisionPtr revIDLastSave="0" documentId="8_{A927FF15-34A8-4E0B-9BB3-D3AAAD689067}" xr6:coauthVersionLast="47" xr6:coauthVersionMax="47" xr10:uidLastSave="{00000000-0000-0000-0000-000000000000}"/>
  <bookViews>
    <workbookView xWindow="-120" yWindow="-120" windowWidth="20730" windowHeight="11040" xr2:uid="{D52E2480-29E9-45FD-8708-DF691623E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F2" i="1"/>
  <c r="M2" i="1"/>
  <c r="M3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I2" i="1"/>
  <c r="I3" i="1"/>
  <c r="I4" i="1"/>
  <c r="I5" i="1"/>
  <c r="I6" i="1"/>
  <c r="I7" i="1"/>
  <c r="J3" i="1"/>
  <c r="J4" i="1"/>
  <c r="J5" i="1"/>
  <c r="J6" i="1"/>
  <c r="J7" i="1"/>
  <c r="J2" i="1"/>
  <c r="H3" i="1"/>
  <c r="H4" i="1"/>
  <c r="H5" i="1"/>
  <c r="H6" i="1"/>
  <c r="H7" i="1"/>
  <c r="H2" i="1"/>
  <c r="G4" i="1"/>
  <c r="G5" i="1"/>
  <c r="G6" i="1"/>
  <c r="G7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<sst xmlns="http://schemas.openxmlformats.org/spreadsheetml/2006/main" count="33" uniqueCount="31">
  <si>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</si>
  <si>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</si>
  <si>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ProductA</t>
  </si>
  <si>
    <t>ProductB</t>
  </si>
  <si>
    <t>ProductC</t>
  </si>
  <si>
    <t>ProductD</t>
  </si>
  <si>
    <t>ProductE</t>
  </si>
  <si>
    <t>ProductF</t>
  </si>
  <si>
    <t>Sales</t>
  </si>
  <si>
    <t>Target</t>
  </si>
  <si>
    <t>Region</t>
  </si>
  <si>
    <t>South</t>
  </si>
  <si>
    <t>East</t>
  </si>
  <si>
    <t>West</t>
  </si>
  <si>
    <t>North</t>
  </si>
  <si>
    <t>Target Status</t>
  </si>
  <si>
    <t>Regional Bonus</t>
  </si>
  <si>
    <t>Commission Rate</t>
  </si>
  <si>
    <t>Bonus Amount Calculation</t>
  </si>
  <si>
    <t>Performance</t>
  </si>
  <si>
    <t>Price Tier on the sales value</t>
  </si>
  <si>
    <t>year-end bonus</t>
  </si>
  <si>
    <t>mark high performers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</si>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</sst>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2" fillId="2" borderId="1" xfId="1" applyFont="1"/>
    <xf numFmtId="0" fontId="3" fillId="2" borderId="1" xfId="1" applyFont="1"/>
    <xf numFmtId="0" fontId="1" fillId="0" borderId="2" xfId="0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9023-9383-4530-A120-802951A45CA0}">
  <dimension ref="A1:M16"/>
  <sheetViews>
    <sheetView tabSelected="1" topLeftCell="D1" workbookViewId="0">
      <selection activeCell="F16" sqref="F16"/>
    </sheetView>
  </sheetViews>
  <sheetFormatPr defaultRowHeight="15" x14ac:dyDescent="0.25"/>
  <cols>
    <col min="6" max="6" width="14" customWidth="1"/>
    <col min="7" max="7" width="15.85546875" customWidth="1"/>
    <col min="8" max="8" width="17.28515625" customWidth="1"/>
    <col min="9" max="9" width="26.42578125" customWidth="1"/>
    <col min="10" max="10" width="22.7109375" customWidth="1"/>
    <col min="11" max="11" width="26.5703125" customWidth="1"/>
    <col min="12" max="12" width="16" customWidth="1"/>
    <col min="13" max="13" width="22.5703125" customWidth="1"/>
  </cols>
  <sheetData>
    <row r="1" spans="1:13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15</v>
      </c>
      <c r="G1" s="1" t="s">
        <v>16</v>
      </c>
      <c r="H1" s="1" t="s">
        <v>17</v>
      </c>
      <c r="I1" s="2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25">
      <c r="A2" s="3">
        <v>101</v>
      </c>
      <c r="B2" s="3" t="s">
        <v>2</v>
      </c>
      <c r="C2" s="3">
        <v>120</v>
      </c>
      <c r="D2" s="3">
        <v>150</v>
      </c>
      <c r="E2" s="3" t="s">
        <v>14</v>
      </c>
      <c r="F2" s="3" t="str">
        <f>IF(C2&gt;=D2,"Met Target","Not Met")</f>
        <v>Not Met</v>
      </c>
      <c r="G2" s="3" t="str">
        <f>IF(AND(E2="North",C2&gt;200),"Eligible","Not Eligible")</f>
        <v>Not Eligible</v>
      </c>
      <c r="H2" s="3">
        <f t="shared" ref="H2:H7" si="0">IF(C2&gt;=200,10%,IF(C2&gt;=150,7%,5%))</f>
        <v>0.05</v>
      </c>
      <c r="I2" s="3">
        <f t="shared" ref="I2:I7" si="1">IF(C2&gt;=D2,C2*10%,C2*5%)</f>
        <v>6</v>
      </c>
      <c r="J2" s="3" t="str">
        <f t="shared" ref="J2:J7" si="2">IF(C2&gt;=200,"Excellent",IF(C2&gt;=150,"Good","Need to improvement"))</f>
        <v>Need to improvement</v>
      </c>
      <c r="K2" s="3" t="str">
        <f>IF(C2&gt;200,"High",IF(C2&gt;=100,"Medium","Low"))</f>
        <v>Medium</v>
      </c>
      <c r="L2" s="3">
        <f>IF(AND(C2&gt;=150,E2="North"),500,300)</f>
        <v>300</v>
      </c>
      <c r="M2" s="3" t="str">
        <f>IF(C2&gt;=PERCENTILE($C$2:$C$7,0.75),"High Performer","Normal Performer")</f>
        <v>Normal Performer</v>
      </c>
    </row>
    <row r="3" spans="1:13" x14ac:dyDescent="0.25">
      <c r="A3" s="3">
        <v>102</v>
      </c>
      <c r="B3" s="3" t="s">
        <v>3</v>
      </c>
      <c r="C3" s="3">
        <v>150</v>
      </c>
      <c r="D3" s="3">
        <v>140</v>
      </c>
      <c r="E3" s="3" t="s">
        <v>11</v>
      </c>
      <c r="F3" s="3" t="str">
        <f t="shared" ref="F3:F7" si="3">IF(C3&gt;=D3,"Met Target","Not Met")</f>
        <v>Met Target</v>
      </c>
      <c r="G3" s="3" t="str">
        <f>IF(AND(E3="North",C3&gt;200),"Eligible","Not Eligible")</f>
        <v>Not Eligible</v>
      </c>
      <c r="H3" s="3">
        <f t="shared" si="0"/>
        <v>7.0000000000000007E-2</v>
      </c>
      <c r="I3" s="3">
        <f t="shared" si="1"/>
        <v>15</v>
      </c>
      <c r="J3" s="3" t="str">
        <f t="shared" si="2"/>
        <v>Good</v>
      </c>
      <c r="K3" s="3" t="str">
        <f t="shared" ref="K3:K7" si="4">IF(C3&gt;200,"High",IF(C3&gt;=100,"Medium","Low"))</f>
        <v>Medium</v>
      </c>
      <c r="L3" s="3">
        <f t="shared" ref="L3:L7" si="5">IF(AND(C3&gt;=150,E3="North"),500,300)</f>
        <v>300</v>
      </c>
      <c r="M3" s="3" t="str">
        <f t="shared" ref="M3:M7" si="6">IF(C3&gt;=PERCENTILE($C$2:$C$7,0.75),"High Performer","Normal Performer")</f>
        <v>Normal Performer</v>
      </c>
    </row>
    <row r="4" spans="1:13" x14ac:dyDescent="0.25">
      <c r="A4" s="3">
        <v>103</v>
      </c>
      <c r="B4" s="3" t="s">
        <v>4</v>
      </c>
      <c r="C4" s="3">
        <v>200</v>
      </c>
      <c r="D4" s="3">
        <v>200</v>
      </c>
      <c r="E4" s="3" t="s">
        <v>12</v>
      </c>
      <c r="F4" s="3" t="str">
        <f t="shared" si="3"/>
        <v>Met Target</v>
      </c>
      <c r="G4" s="3" t="str">
        <f t="shared" ref="G4:G7" si="7">IF(AND(E4="North",C4&gt;200),"Eligible","Not Eligible")</f>
        <v>Not Eligible</v>
      </c>
      <c r="H4" s="3">
        <f t="shared" si="0"/>
        <v>0.1</v>
      </c>
      <c r="I4" s="3">
        <f t="shared" si="1"/>
        <v>20</v>
      </c>
      <c r="J4" s="3" t="str">
        <f t="shared" si="2"/>
        <v>Excellent</v>
      </c>
      <c r="K4" s="3" t="str">
        <f t="shared" si="4"/>
        <v>Medium</v>
      </c>
      <c r="L4" s="3">
        <f t="shared" si="5"/>
        <v>300</v>
      </c>
      <c r="M4" s="3" t="str">
        <f t="shared" si="6"/>
        <v>High Performer</v>
      </c>
    </row>
    <row r="5" spans="1:13" x14ac:dyDescent="0.25">
      <c r="A5" s="3">
        <v>104</v>
      </c>
      <c r="B5" s="3" t="s">
        <v>5</v>
      </c>
      <c r="C5" s="3">
        <v>90</v>
      </c>
      <c r="D5" s="3">
        <v>100</v>
      </c>
      <c r="E5" s="3" t="s">
        <v>13</v>
      </c>
      <c r="F5" s="3" t="str">
        <f t="shared" si="3"/>
        <v>Not Met</v>
      </c>
      <c r="G5" s="3" t="str">
        <f t="shared" si="7"/>
        <v>Not Eligible</v>
      </c>
      <c r="H5" s="3">
        <f t="shared" si="0"/>
        <v>0.05</v>
      </c>
      <c r="I5" s="3">
        <f t="shared" si="1"/>
        <v>4.5</v>
      </c>
      <c r="J5" s="3" t="str">
        <f t="shared" si="2"/>
        <v>Need to improvement</v>
      </c>
      <c r="K5" s="3" t="str">
        <f t="shared" si="4"/>
        <v>Low</v>
      </c>
      <c r="L5" s="3">
        <f t="shared" si="5"/>
        <v>300</v>
      </c>
      <c r="M5" s="3" t="str">
        <f t="shared" si="6"/>
        <v>Normal Performer</v>
      </c>
    </row>
    <row r="6" spans="1:13" x14ac:dyDescent="0.25">
      <c r="A6" s="3">
        <v>105</v>
      </c>
      <c r="B6" s="3" t="s">
        <v>6</v>
      </c>
      <c r="C6" s="3">
        <v>220</v>
      </c>
      <c r="D6" s="3">
        <v>210</v>
      </c>
      <c r="E6" s="3" t="s">
        <v>14</v>
      </c>
      <c r="F6" s="3" t="str">
        <f t="shared" si="3"/>
        <v>Met Target</v>
      </c>
      <c r="G6" s="3" t="str">
        <f t="shared" si="7"/>
        <v>Eligible</v>
      </c>
      <c r="H6" s="3">
        <f t="shared" si="0"/>
        <v>0.1</v>
      </c>
      <c r="I6" s="3">
        <f t="shared" si="1"/>
        <v>22</v>
      </c>
      <c r="J6" s="3" t="str">
        <f t="shared" si="2"/>
        <v>Excellent</v>
      </c>
      <c r="K6" s="3" t="str">
        <f t="shared" si="4"/>
        <v>High</v>
      </c>
      <c r="L6" s="3">
        <f t="shared" si="5"/>
        <v>500</v>
      </c>
      <c r="M6" s="3" t="str">
        <f t="shared" si="6"/>
        <v>High Performer</v>
      </c>
    </row>
    <row r="7" spans="1:13" x14ac:dyDescent="0.25">
      <c r="A7" s="3">
        <v>106</v>
      </c>
      <c r="B7" s="3" t="s">
        <v>7</v>
      </c>
      <c r="C7" s="3">
        <v>130</v>
      </c>
      <c r="D7" s="3">
        <v>160</v>
      </c>
      <c r="E7" s="3" t="s">
        <v>11</v>
      </c>
      <c r="F7" s="3" t="str">
        <f t="shared" si="3"/>
        <v>Not Met</v>
      </c>
      <c r="G7" s="3" t="str">
        <f t="shared" si="7"/>
        <v>Not Eligible</v>
      </c>
      <c r="H7" s="3">
        <f t="shared" si="0"/>
        <v>0.05</v>
      </c>
      <c r="I7" s="3">
        <f t="shared" si="1"/>
        <v>6.5</v>
      </c>
      <c r="J7" s="3" t="str">
        <f t="shared" si="2"/>
        <v>Need to improvement</v>
      </c>
      <c r="K7" s="3" t="str">
        <f t="shared" si="4"/>
        <v>Medium</v>
      </c>
      <c r="L7" s="3">
        <f t="shared" si="5"/>
        <v>300</v>
      </c>
      <c r="M7" s="3" t="str">
        <f t="shared" si="6"/>
        <v>Normal Performer</v>
      </c>
    </row>
    <row r="9" spans="1:13" x14ac:dyDescent="0.25">
      <c r="F9" t="s">
        <v>23</v>
      </c>
    </row>
    <row r="10" spans="1:13" x14ac:dyDescent="0.25">
      <c r="F10" t="s">
        <v>24</v>
      </c>
    </row>
    <row r="11" spans="1:13" x14ac:dyDescent="0.25">
      <c r="F11" t="s">
        <v>25</v>
      </c>
    </row>
    <row r="12" spans="1:13" x14ac:dyDescent="0.25">
      <c r="F12" t="s">
        <v>26</v>
      </c>
    </row>
    <row r="13" spans="1:13" x14ac:dyDescent="0.25">
      <c r="F13" t="s">
        <v>27</v>
      </c>
    </row>
    <row r="14" spans="1:13" x14ac:dyDescent="0.25">
      <c r="F14" t="s">
        <v>28</v>
      </c>
    </row>
    <row r="15" spans="1:13" x14ac:dyDescent="0.25">
      <c r="F15" t="s">
        <v>29</v>
      </c>
    </row>
    <row r="16" spans="1:13" x14ac:dyDescent="0.25">
      <c r="F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2026-05-18T08:55:04Z</dcterms:created>
  <dcterms:modified xsi:type="dcterms:W3CDTF">2026-05-19T13:41:58Z</dcterms:modified>
</cp:coreProperties>
</file>