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8B30AEE-4BC0-4464-8507-362638389B04}" xr6:coauthVersionLast="47" xr6:coauthVersionMax="47" xr10:uidLastSave="{00000000-0000-0000-0000-000000000000}"/>
  <bookViews>
    <workbookView xWindow="-120" yWindow="-120" windowWidth="20730" windowHeight="11040" xr2:uid="{CFCA4E5D-A872-4693-ADD3-7E72C034294C}"/>
  </bookViews>
  <sheets>
    <sheet name="Product" sheetId="1" r:id="rId1"/>
    <sheet name="Or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6" i="2" l="1"/>
  <c r="Q70" i="2"/>
  <c r="P70" i="2"/>
  <c r="M68" i="2" l="1"/>
  <c r="M69" i="2"/>
  <c r="M70" i="2"/>
  <c r="M71" i="2"/>
  <c r="M72" i="2"/>
  <c r="M73" i="2"/>
  <c r="M67" i="2"/>
  <c r="L69" i="2"/>
  <c r="J73" i="2"/>
  <c r="K73" i="2"/>
  <c r="L68" i="2"/>
  <c r="L70" i="2"/>
  <c r="L71" i="2"/>
  <c r="L72" i="2"/>
  <c r="L67" i="2"/>
  <c r="K68" i="2"/>
  <c r="K69" i="2"/>
  <c r="K70" i="2"/>
  <c r="K71" i="2"/>
  <c r="K72" i="2"/>
  <c r="K67" i="2"/>
  <c r="J70" i="2"/>
  <c r="J68" i="2"/>
  <c r="J69" i="2"/>
  <c r="J71" i="2"/>
  <c r="J72" i="2"/>
  <c r="J67" i="2"/>
  <c r="K57" i="2" l="1"/>
  <c r="K58" i="2"/>
  <c r="K59" i="2"/>
  <c r="K60" i="2"/>
  <c r="K61" i="2"/>
  <c r="K62" i="2"/>
  <c r="K56" i="2"/>
  <c r="L47" i="2"/>
  <c r="L48" i="2"/>
  <c r="L49" i="2"/>
  <c r="L50" i="2"/>
  <c r="L51" i="2"/>
  <c r="L46" i="2"/>
  <c r="K41" i="2" l="1"/>
  <c r="J37" i="2"/>
  <c r="J38" i="2"/>
  <c r="J39" i="2"/>
  <c r="K39" i="2" s="1"/>
  <c r="J40" i="2"/>
  <c r="K40" i="2" s="1"/>
  <c r="J41" i="2"/>
  <c r="J36" i="2"/>
  <c r="K26" i="2"/>
  <c r="K27" i="2"/>
  <c r="K28" i="2"/>
  <c r="K29" i="2"/>
  <c r="K30" i="2"/>
  <c r="K31" i="2"/>
  <c r="K25" i="2"/>
  <c r="K16" i="2"/>
  <c r="K17" i="2"/>
  <c r="K18" i="2"/>
  <c r="K19" i="2"/>
  <c r="K20" i="2"/>
  <c r="K15" i="2"/>
  <c r="K6" i="2"/>
  <c r="K7" i="2"/>
  <c r="K8" i="2"/>
  <c r="K9" i="2"/>
  <c r="K10" i="2"/>
  <c r="K5" i="2"/>
  <c r="L38" i="2" l="1"/>
  <c r="K38" i="2"/>
  <c r="L41" i="2"/>
  <c r="K37" i="2"/>
  <c r="L37" i="2" s="1"/>
  <c r="K36" i="2"/>
  <c r="L36" i="2" s="1"/>
  <c r="L40" i="2"/>
  <c r="L39" i="2"/>
</calcChain>
</file>

<file path=xl/sharedStrings.xml><?xml version="1.0" encoding="utf-8"?>
<sst xmlns="http://schemas.openxmlformats.org/spreadsheetml/2006/main" count="78" uniqueCount="32">
  <si>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</si>
  <si>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</si>
  <si>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</si>
  <si>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</si>
  <si>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</si>
  <si>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</si>
  <si>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</si>
  <si>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</si>
  <si>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</si>
  <si>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</si>
  <si>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</si>
  <si>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TotalPrice</t>
  </si>
  <si>
    <t>Product Name</t>
  </si>
  <si>
    <t>Result</t>
  </si>
  <si>
    <t>1.Use VLOOKUP to find the product names for each ProductID in the Orders worksheet.</t>
  </si>
  <si>
    <t>2.Use VLOOKUP to find the price for each ProductID in the Orders worksheet, then calculate the TotalPrice by multiplying the Quantity by the Product Price.</t>
  </si>
  <si>
    <t>3.Use VLOOKUP to check if there are any ProductIDs in the Orders worksheet that do not exist in the Products worksheet.</t>
  </si>
  <si>
    <t>5.Use VLOOKUP to find the price for each ProductID and then calculate the order value. Find the maximum order value from the list.</t>
  </si>
  <si>
    <t>Order Value</t>
  </si>
  <si>
    <t>Product I</t>
  </si>
  <si>
    <t>Order Status</t>
  </si>
  <si>
    <t>6.Use VLOOKUP to find out which products from the Products worksheet have not been ordered.</t>
  </si>
  <si>
    <t>4.Assume a discount of 10% is given on all products. Use VLOOKUP to find the original price and then calculate the discounted price.</t>
  </si>
  <si>
    <t>Product Namne</t>
  </si>
  <si>
    <t>Quantity Sold</t>
  </si>
  <si>
    <t>Total Price</t>
  </si>
  <si>
    <t>Quantities Sold</t>
  </si>
  <si>
    <t>Discount Price</t>
  </si>
  <si>
    <t>Discount Amount</t>
  </si>
  <si>
    <t xml:space="preserve"> </t>
  </si>
  <si>
    <t>Maximum Order Value</t>
  </si>
  <si>
    <t>7.Use VLOOKUP to find the Product name and summarize the total quantity sold for each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</si>
</sst>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Border="1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B8B9-63BA-4C29-B77F-D945D61F9987}">
  <dimension ref="A1:I17"/>
  <sheetViews>
    <sheetView tabSelected="1" workbookViewId="0">
      <selection activeCell="K7" sqref="K7"/>
    </sheetView>
  </sheetViews>
  <sheetFormatPr defaultRowHeight="15" x14ac:dyDescent="0.25"/>
  <sheetData>
    <row r="1" spans="1:9" x14ac:dyDescent="0.25">
      <c r="A1" s="6" t="s">
        <v>0</v>
      </c>
      <c r="B1" s="6" t="s">
        <v>1</v>
      </c>
      <c r="C1" s="6" t="s">
        <v>2</v>
      </c>
    </row>
    <row r="2" spans="1:9" x14ac:dyDescent="0.25">
      <c r="A2" s="1">
        <v>101</v>
      </c>
      <c r="B2" s="1" t="s">
        <v>3</v>
      </c>
      <c r="C2" s="1">
        <v>120</v>
      </c>
    </row>
    <row r="3" spans="1:9" x14ac:dyDescent="0.25">
      <c r="A3" s="1">
        <v>102</v>
      </c>
      <c r="B3" s="1" t="s">
        <v>4</v>
      </c>
      <c r="C3" s="1">
        <v>150</v>
      </c>
    </row>
    <row r="4" spans="1:9" x14ac:dyDescent="0.25">
      <c r="A4" s="1">
        <v>103</v>
      </c>
      <c r="B4" s="1" t="s">
        <v>5</v>
      </c>
      <c r="C4" s="1">
        <v>200</v>
      </c>
    </row>
    <row r="5" spans="1:9" x14ac:dyDescent="0.25">
      <c r="A5" s="1">
        <v>104</v>
      </c>
      <c r="B5" s="1" t="s">
        <v>6</v>
      </c>
      <c r="C5" s="1">
        <v>90</v>
      </c>
      <c r="F5" s="4"/>
      <c r="G5" s="4"/>
      <c r="H5" s="4"/>
      <c r="I5" s="4"/>
    </row>
    <row r="6" spans="1:9" x14ac:dyDescent="0.25">
      <c r="A6" s="1">
        <v>105</v>
      </c>
      <c r="B6" s="1" t="s">
        <v>7</v>
      </c>
      <c r="C6" s="1">
        <v>220</v>
      </c>
      <c r="F6" s="4"/>
      <c r="G6" s="4"/>
      <c r="H6" s="4"/>
      <c r="I6" s="4"/>
    </row>
    <row r="7" spans="1:9" x14ac:dyDescent="0.25">
      <c r="A7" s="1">
        <v>106</v>
      </c>
      <c r="B7" s="1" t="s">
        <v>8</v>
      </c>
      <c r="C7" s="1">
        <v>130</v>
      </c>
      <c r="F7" s="4"/>
      <c r="G7" s="4"/>
      <c r="H7" s="4"/>
      <c r="I7" s="4"/>
    </row>
    <row r="8" spans="1:9" x14ac:dyDescent="0.25">
      <c r="F8" s="4"/>
      <c r="G8" s="4"/>
      <c r="H8" s="4"/>
      <c r="I8" s="4"/>
    </row>
    <row r="9" spans="1:9" x14ac:dyDescent="0.25">
      <c r="F9" s="4"/>
      <c r="G9" s="4"/>
      <c r="H9" s="4"/>
      <c r="I9" s="4"/>
    </row>
    <row r="10" spans="1:9" x14ac:dyDescent="0.25">
      <c r="F10" s="4"/>
      <c r="G10" s="4"/>
      <c r="H10" s="4"/>
      <c r="I10" s="4"/>
    </row>
    <row r="11" spans="1:9" x14ac:dyDescent="0.25">
      <c r="A11" s="4"/>
      <c r="B11" s="4"/>
      <c r="C11" s="4"/>
      <c r="F11" s="4"/>
      <c r="G11" s="4"/>
      <c r="H11" s="4"/>
      <c r="I11" s="4"/>
    </row>
    <row r="12" spans="1:9" x14ac:dyDescent="0.25">
      <c r="A12" s="4"/>
      <c r="B12" s="4"/>
      <c r="C12" s="4"/>
    </row>
    <row r="13" spans="1:9" x14ac:dyDescent="0.25">
      <c r="A13" s="4"/>
      <c r="B13" s="4"/>
      <c r="C13" s="4"/>
    </row>
    <row r="14" spans="1:9" x14ac:dyDescent="0.25">
      <c r="A14" s="4"/>
      <c r="B14" s="4"/>
      <c r="C14" s="4"/>
    </row>
    <row r="15" spans="1:9" x14ac:dyDescent="0.25">
      <c r="A15" s="4"/>
      <c r="B15" s="4"/>
      <c r="C15" s="4"/>
    </row>
    <row r="16" spans="1:9" x14ac:dyDescent="0.25">
      <c r="A16" s="4"/>
      <c r="B16" s="4"/>
      <c r="C16" s="4"/>
    </row>
    <row r="17" spans="1:3" x14ac:dyDescent="0.25">
      <c r="A17" s="4"/>
      <c r="B17" s="4"/>
      <c r="C1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497E-3977-478E-A748-9C61860551CB}">
  <dimension ref="A1:S73"/>
  <sheetViews>
    <sheetView workbookViewId="0">
      <selection activeCell="G63" sqref="G63"/>
    </sheetView>
  </sheetViews>
  <sheetFormatPr defaultRowHeight="15" x14ac:dyDescent="0.25"/>
  <cols>
    <col min="8" max="8" width="10.7109375" customWidth="1"/>
    <col min="10" max="10" width="14.85546875" bestFit="1" customWidth="1"/>
    <col min="11" max="11" width="13.7109375" bestFit="1" customWidth="1"/>
    <col min="12" max="12" width="16.42578125" bestFit="1" customWidth="1"/>
    <col min="13" max="13" width="21.7109375" customWidth="1"/>
    <col min="14" max="14" width="11.42578125" customWidth="1"/>
    <col min="15" max="15" width="13.7109375" bestFit="1" customWidth="1"/>
    <col min="16" max="16" width="14.7109375" bestFit="1" customWidth="1"/>
    <col min="17" max="17" width="13.7109375" bestFit="1" customWidth="1"/>
    <col min="18" max="18" width="14.7109375" bestFit="1" customWidth="1"/>
  </cols>
  <sheetData>
    <row r="1" spans="1:19" x14ac:dyDescent="0.25">
      <c r="A1" s="6" t="s">
        <v>9</v>
      </c>
      <c r="B1" s="6" t="s">
        <v>0</v>
      </c>
      <c r="C1" s="6" t="s">
        <v>10</v>
      </c>
      <c r="D1" s="6" t="s">
        <v>11</v>
      </c>
    </row>
    <row r="2" spans="1:19" x14ac:dyDescent="0.25">
      <c r="A2" s="1">
        <v>1</v>
      </c>
      <c r="B2" s="1">
        <v>101</v>
      </c>
      <c r="C2" s="1">
        <v>2</v>
      </c>
      <c r="D2" s="1"/>
      <c r="H2" s="6" t="s">
        <v>14</v>
      </c>
      <c r="I2" s="6"/>
      <c r="J2" s="6"/>
      <c r="K2" s="6"/>
      <c r="L2" s="6"/>
      <c r="M2" s="6"/>
      <c r="N2" s="6"/>
    </row>
    <row r="3" spans="1:19" x14ac:dyDescent="0.25">
      <c r="A3" s="1">
        <v>2</v>
      </c>
      <c r="B3" s="1">
        <v>103</v>
      </c>
      <c r="C3" s="1">
        <v>1</v>
      </c>
      <c r="D3" s="1"/>
    </row>
    <row r="4" spans="1:19" x14ac:dyDescent="0.25">
      <c r="A4" s="1">
        <v>3</v>
      </c>
      <c r="B4" s="1">
        <v>105</v>
      </c>
      <c r="C4" s="1">
        <v>4</v>
      </c>
      <c r="D4" s="1"/>
      <c r="H4" s="7" t="s">
        <v>9</v>
      </c>
      <c r="I4" s="7" t="s">
        <v>0</v>
      </c>
      <c r="J4" s="7" t="s">
        <v>10</v>
      </c>
      <c r="K4" s="7" t="s">
        <v>12</v>
      </c>
    </row>
    <row r="5" spans="1:19" x14ac:dyDescent="0.25">
      <c r="A5" s="1">
        <v>4</v>
      </c>
      <c r="B5" s="1">
        <v>106</v>
      </c>
      <c r="C5" s="1">
        <v>3</v>
      </c>
      <c r="D5" s="1"/>
      <c r="H5" s="1">
        <v>1</v>
      </c>
      <c r="I5" s="1">
        <v>101</v>
      </c>
      <c r="J5" s="1">
        <v>2</v>
      </c>
      <c r="K5" s="1" t="str">
        <f>VLOOKUP(I5,Product!$A$1:$B$7,2,FALSE)</f>
        <v>Product A</v>
      </c>
    </row>
    <row r="6" spans="1:19" x14ac:dyDescent="0.25">
      <c r="A6" s="1">
        <v>5</v>
      </c>
      <c r="B6" s="1">
        <v>102</v>
      </c>
      <c r="C6" s="1">
        <v>5</v>
      </c>
      <c r="D6" s="1"/>
      <c r="H6" s="1">
        <v>2</v>
      </c>
      <c r="I6" s="1">
        <v>103</v>
      </c>
      <c r="J6" s="1">
        <v>1</v>
      </c>
      <c r="K6" s="1" t="str">
        <f>VLOOKUP(I6,Product!$A$1:$B$7,2,FALSE)</f>
        <v>Product C</v>
      </c>
    </row>
    <row r="7" spans="1:19" x14ac:dyDescent="0.25">
      <c r="A7" s="1">
        <v>6</v>
      </c>
      <c r="B7" s="1">
        <v>104</v>
      </c>
      <c r="C7" s="1">
        <v>6</v>
      </c>
      <c r="D7" s="1"/>
      <c r="H7" s="1">
        <v>3</v>
      </c>
      <c r="I7" s="1">
        <v>105</v>
      </c>
      <c r="J7" s="1">
        <v>4</v>
      </c>
      <c r="K7" s="1" t="str">
        <f>VLOOKUP(I7,Product!$A$1:$B$7,2,FALSE)</f>
        <v>Product E</v>
      </c>
    </row>
    <row r="8" spans="1:19" x14ac:dyDescent="0.25">
      <c r="H8" s="1">
        <v>4</v>
      </c>
      <c r="I8" s="1">
        <v>106</v>
      </c>
      <c r="J8" s="1">
        <v>3</v>
      </c>
      <c r="K8" s="1" t="str">
        <f>VLOOKUP(I8,Product!$A$1:$B$7,2,FALSE)</f>
        <v>Product F</v>
      </c>
    </row>
    <row r="9" spans="1:19" x14ac:dyDescent="0.25">
      <c r="H9" s="1">
        <v>5</v>
      </c>
      <c r="I9" s="1">
        <v>102</v>
      </c>
      <c r="J9" s="1">
        <v>5</v>
      </c>
      <c r="K9" s="1" t="str">
        <f>VLOOKUP(I9,Product!$A$1:$B$7,2,FALSE)</f>
        <v>Product B</v>
      </c>
    </row>
    <row r="10" spans="1:19" x14ac:dyDescent="0.25">
      <c r="H10" s="1">
        <v>6</v>
      </c>
      <c r="I10" s="1">
        <v>104</v>
      </c>
      <c r="J10" s="1">
        <v>6</v>
      </c>
      <c r="K10" s="1" t="str">
        <f>VLOOKUP(I10,Product!$A$1:$B$7,2,FALSE)</f>
        <v>Product D</v>
      </c>
    </row>
    <row r="12" spans="1:19" x14ac:dyDescent="0.25">
      <c r="A12" s="4"/>
      <c r="B12" s="4"/>
      <c r="C12" s="4"/>
      <c r="D12" s="4"/>
      <c r="H12" s="6" t="s">
        <v>15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x14ac:dyDescent="0.25">
      <c r="A13" s="4"/>
      <c r="B13" s="4"/>
      <c r="C13" s="4"/>
      <c r="D13" s="4"/>
    </row>
    <row r="14" spans="1:19" x14ac:dyDescent="0.25">
      <c r="A14" s="4"/>
      <c r="B14" s="4"/>
      <c r="C14" s="4"/>
      <c r="D14" s="4"/>
      <c r="H14" s="7" t="s">
        <v>9</v>
      </c>
      <c r="I14" s="7" t="s">
        <v>0</v>
      </c>
      <c r="J14" s="7" t="s">
        <v>10</v>
      </c>
      <c r="K14" s="7" t="s">
        <v>2</v>
      </c>
    </row>
    <row r="15" spans="1:19" x14ac:dyDescent="0.25">
      <c r="A15" s="4"/>
      <c r="B15" s="4"/>
      <c r="C15" s="4"/>
      <c r="D15" s="4"/>
      <c r="H15" s="1">
        <v>1</v>
      </c>
      <c r="I15" s="1">
        <v>101</v>
      </c>
      <c r="J15" s="1">
        <v>2</v>
      </c>
      <c r="K15" s="1">
        <f>VLOOKUP(I15,Product!$A$1:$C$7,3,FALSE)</f>
        <v>120</v>
      </c>
    </row>
    <row r="16" spans="1:19" x14ac:dyDescent="0.25">
      <c r="A16" s="4"/>
      <c r="B16" s="4"/>
      <c r="C16" s="4"/>
      <c r="D16" s="4"/>
      <c r="H16" s="1">
        <v>2</v>
      </c>
      <c r="I16" s="1">
        <v>103</v>
      </c>
      <c r="J16" s="1">
        <v>1</v>
      </c>
      <c r="K16" s="1">
        <f>VLOOKUP(I16,Product!$A$1:$C$7,3,FALSE)</f>
        <v>200</v>
      </c>
    </row>
    <row r="17" spans="1:17" x14ac:dyDescent="0.25">
      <c r="A17" s="4"/>
      <c r="B17" s="4"/>
      <c r="C17" s="4"/>
      <c r="D17" s="4"/>
      <c r="H17" s="1">
        <v>3</v>
      </c>
      <c r="I17" s="1">
        <v>105</v>
      </c>
      <c r="J17" s="1">
        <v>4</v>
      </c>
      <c r="K17" s="1">
        <f>VLOOKUP(I17,Product!$A$1:$C$7,3,FALSE)</f>
        <v>220</v>
      </c>
    </row>
    <row r="18" spans="1:17" x14ac:dyDescent="0.25">
      <c r="A18" s="4"/>
      <c r="B18" s="4"/>
      <c r="C18" s="4"/>
      <c r="D18" s="4"/>
      <c r="H18" s="1">
        <v>4</v>
      </c>
      <c r="I18" s="1">
        <v>106</v>
      </c>
      <c r="J18" s="1">
        <v>3</v>
      </c>
      <c r="K18" s="1">
        <f>VLOOKUP(I18,Product!$A$1:$C$7,3,FALSE)</f>
        <v>130</v>
      </c>
    </row>
    <row r="19" spans="1:17" x14ac:dyDescent="0.25">
      <c r="H19" s="1">
        <v>5</v>
      </c>
      <c r="I19" s="1">
        <v>102</v>
      </c>
      <c r="J19" s="1">
        <v>5</v>
      </c>
      <c r="K19" s="1">
        <f>VLOOKUP(I19,Product!$A$1:$C$7,3,FALSE)</f>
        <v>150</v>
      </c>
    </row>
    <row r="20" spans="1:17" x14ac:dyDescent="0.25">
      <c r="H20" s="1">
        <v>6</v>
      </c>
      <c r="I20" s="1">
        <v>104</v>
      </c>
      <c r="J20" s="1">
        <v>6</v>
      </c>
      <c r="K20" s="1">
        <f>VLOOKUP(I20,Product!$A$1:$C$7,3,FALSE)</f>
        <v>90</v>
      </c>
    </row>
    <row r="22" spans="1:17" x14ac:dyDescent="0.25">
      <c r="H22" s="6" t="s">
        <v>16</v>
      </c>
      <c r="I22" s="6"/>
      <c r="J22" s="6"/>
      <c r="K22" s="6"/>
      <c r="L22" s="6"/>
      <c r="M22" s="6"/>
      <c r="N22" s="6"/>
      <c r="O22" s="6"/>
      <c r="P22" s="6"/>
      <c r="Q22" s="6"/>
    </row>
    <row r="24" spans="1:17" x14ac:dyDescent="0.25">
      <c r="A24" s="7" t="s">
        <v>9</v>
      </c>
      <c r="B24" s="7" t="s">
        <v>0</v>
      </c>
      <c r="C24" s="7" t="s">
        <v>10</v>
      </c>
      <c r="H24" s="7" t="s">
        <v>9</v>
      </c>
      <c r="I24" s="7" t="s">
        <v>0</v>
      </c>
      <c r="J24" s="7" t="s">
        <v>10</v>
      </c>
      <c r="K24" s="7" t="s">
        <v>13</v>
      </c>
    </row>
    <row r="25" spans="1:17" x14ac:dyDescent="0.25">
      <c r="A25" s="1">
        <v>1</v>
      </c>
      <c r="B25" s="1">
        <v>101</v>
      </c>
      <c r="C25" s="1">
        <v>2</v>
      </c>
      <c r="H25" s="1">
        <v>1</v>
      </c>
      <c r="I25" s="1">
        <v>101</v>
      </c>
      <c r="J25" s="1">
        <v>2</v>
      </c>
      <c r="K25" s="1" t="str">
        <f>IF(ISNA(VLOOKUP(I25,Product!$A$1:$C$7,1,0)),"Not Exist","Exist")</f>
        <v>Exist</v>
      </c>
    </row>
    <row r="26" spans="1:17" x14ac:dyDescent="0.25">
      <c r="A26" s="1">
        <v>2</v>
      </c>
      <c r="B26" s="1">
        <v>103</v>
      </c>
      <c r="C26" s="1">
        <v>1</v>
      </c>
      <c r="H26" s="1">
        <v>2</v>
      </c>
      <c r="I26" s="1">
        <v>103</v>
      </c>
      <c r="J26" s="1">
        <v>1</v>
      </c>
      <c r="K26" s="1" t="str">
        <f>IF(ISNA(VLOOKUP(I26,Product!$A$1:$C$7,1,0)),"Not Exist","Exist")</f>
        <v>Exist</v>
      </c>
    </row>
    <row r="27" spans="1:17" x14ac:dyDescent="0.25">
      <c r="A27" s="1">
        <v>3</v>
      </c>
      <c r="B27" s="1">
        <v>105</v>
      </c>
      <c r="C27" s="1">
        <v>4</v>
      </c>
      <c r="H27" s="1">
        <v>3</v>
      </c>
      <c r="I27" s="1">
        <v>105</v>
      </c>
      <c r="J27" s="1">
        <v>4</v>
      </c>
      <c r="K27" s="1" t="str">
        <f>IF(ISNA(VLOOKUP(I27,Product!$A$1:$C$7,1,0)),"Not Exist","Exist")</f>
        <v>Exist</v>
      </c>
    </row>
    <row r="28" spans="1:17" x14ac:dyDescent="0.25">
      <c r="A28" s="1">
        <v>4</v>
      </c>
      <c r="B28" s="1">
        <v>106</v>
      </c>
      <c r="C28" s="1">
        <v>3</v>
      </c>
      <c r="H28" s="1">
        <v>4</v>
      </c>
      <c r="I28" s="1">
        <v>106</v>
      </c>
      <c r="J28" s="1">
        <v>3</v>
      </c>
      <c r="K28" s="1" t="str">
        <f>IF(ISNA(VLOOKUP(I28,Product!$A$1:$C$7,1,0)),"Not Exist","Exist")</f>
        <v>Exist</v>
      </c>
    </row>
    <row r="29" spans="1:17" x14ac:dyDescent="0.25">
      <c r="A29" s="1">
        <v>5</v>
      </c>
      <c r="B29" s="1">
        <v>102</v>
      </c>
      <c r="C29" s="1">
        <v>5</v>
      </c>
      <c r="H29" s="1">
        <v>5</v>
      </c>
      <c r="I29" s="1">
        <v>102</v>
      </c>
      <c r="J29" s="1">
        <v>5</v>
      </c>
      <c r="K29" s="1" t="str">
        <f>IF(ISNA(VLOOKUP(I29,Product!$A$1:$C$7,1,0)),"Not Exist","Exist")</f>
        <v>Exist</v>
      </c>
    </row>
    <row r="30" spans="1:17" x14ac:dyDescent="0.25">
      <c r="A30" s="1">
        <v>6</v>
      </c>
      <c r="B30" s="1">
        <v>104</v>
      </c>
      <c r="C30" s="1">
        <v>6</v>
      </c>
      <c r="H30" s="1">
        <v>6</v>
      </c>
      <c r="I30" s="1">
        <v>104</v>
      </c>
      <c r="J30" s="1">
        <v>6</v>
      </c>
      <c r="K30" s="1" t="str">
        <f>IF(ISNA(VLOOKUP(I30,Product!$A$1:$C$7,1,0)),"Not Exist","Exist")</f>
        <v>Exist</v>
      </c>
    </row>
    <row r="31" spans="1:17" x14ac:dyDescent="0.25">
      <c r="A31" s="1">
        <v>7</v>
      </c>
      <c r="B31" s="1">
        <v>107</v>
      </c>
      <c r="C31" s="1">
        <v>8</v>
      </c>
      <c r="H31" s="1">
        <v>7</v>
      </c>
      <c r="I31" s="1">
        <v>107</v>
      </c>
      <c r="J31" s="1">
        <v>8</v>
      </c>
      <c r="K31" s="1" t="str">
        <f>IF(ISNA(VLOOKUP(I31,Product!$A$1:$C$7,1,0)),"Not Exist","Exist")</f>
        <v>Not Exist</v>
      </c>
    </row>
    <row r="33" spans="7:17" x14ac:dyDescent="0.25">
      <c r="H33" s="6" t="s">
        <v>22</v>
      </c>
      <c r="I33" s="6"/>
      <c r="J33" s="6"/>
      <c r="K33" s="6"/>
      <c r="L33" s="6"/>
      <c r="M33" s="6"/>
      <c r="N33" s="6"/>
      <c r="O33" s="6"/>
      <c r="P33" s="6"/>
      <c r="Q33" s="6"/>
    </row>
    <row r="35" spans="7:17" x14ac:dyDescent="0.25">
      <c r="H35" s="7" t="s">
        <v>0</v>
      </c>
      <c r="I35" s="7" t="s">
        <v>10</v>
      </c>
      <c r="J35" s="7" t="s">
        <v>2</v>
      </c>
      <c r="K35" s="7" t="s">
        <v>27</v>
      </c>
      <c r="L35" s="7" t="s">
        <v>28</v>
      </c>
    </row>
    <row r="36" spans="7:17" x14ac:dyDescent="0.25">
      <c r="H36" s="1">
        <v>101</v>
      </c>
      <c r="I36" s="1">
        <v>2</v>
      </c>
      <c r="J36" s="1">
        <f>VLOOKUP(H36,Product!$A$1:$C$7,3,FALSE)</f>
        <v>120</v>
      </c>
      <c r="K36" s="1">
        <f>J36-(J36*10%)</f>
        <v>108</v>
      </c>
      <c r="L36" s="1">
        <f>J36-K36</f>
        <v>12</v>
      </c>
    </row>
    <row r="37" spans="7:17" x14ac:dyDescent="0.25">
      <c r="H37" s="1">
        <v>103</v>
      </c>
      <c r="I37" s="1">
        <v>1</v>
      </c>
      <c r="J37" s="1">
        <f>VLOOKUP(H37,Product!$A$1:$C$7,3,FALSE)</f>
        <v>200</v>
      </c>
      <c r="K37" s="1">
        <f t="shared" ref="K37:K41" si="0">J37-(J37*10%)</f>
        <v>180</v>
      </c>
      <c r="L37" s="1">
        <f t="shared" ref="L37:L41" si="1">J37-K37</f>
        <v>20</v>
      </c>
    </row>
    <row r="38" spans="7:17" x14ac:dyDescent="0.25">
      <c r="H38" s="1">
        <v>105</v>
      </c>
      <c r="I38" s="1">
        <v>4</v>
      </c>
      <c r="J38" s="1">
        <f>VLOOKUP(H38,Product!$A$1:$C$7,3,FALSE)</f>
        <v>220</v>
      </c>
      <c r="K38" s="1">
        <f t="shared" si="0"/>
        <v>198</v>
      </c>
      <c r="L38" s="1">
        <f t="shared" si="1"/>
        <v>22</v>
      </c>
    </row>
    <row r="39" spans="7:17" x14ac:dyDescent="0.25">
      <c r="H39" s="1">
        <v>106</v>
      </c>
      <c r="I39" s="1">
        <v>3</v>
      </c>
      <c r="J39" s="1">
        <f>VLOOKUP(H39,Product!$A$1:$C$7,3,FALSE)</f>
        <v>130</v>
      </c>
      <c r="K39" s="1">
        <f t="shared" si="0"/>
        <v>117</v>
      </c>
      <c r="L39" s="1">
        <f t="shared" si="1"/>
        <v>13</v>
      </c>
    </row>
    <row r="40" spans="7:17" x14ac:dyDescent="0.25">
      <c r="H40" s="1">
        <v>102</v>
      </c>
      <c r="I40" s="1">
        <v>5</v>
      </c>
      <c r="J40" s="1">
        <f>VLOOKUP(H40,Product!$A$1:$C$7,3,FALSE)</f>
        <v>150</v>
      </c>
      <c r="K40" s="1">
        <f t="shared" si="0"/>
        <v>135</v>
      </c>
      <c r="L40" s="1">
        <f t="shared" si="1"/>
        <v>15</v>
      </c>
    </row>
    <row r="41" spans="7:17" x14ac:dyDescent="0.25">
      <c r="G41" t="s">
        <v>29</v>
      </c>
      <c r="H41" s="1">
        <v>104</v>
      </c>
      <c r="I41" s="1">
        <v>6</v>
      </c>
      <c r="J41" s="1">
        <f>VLOOKUP(H41,Product!$A$1:$C$7,3,FALSE)</f>
        <v>90</v>
      </c>
      <c r="K41" s="1">
        <f t="shared" si="0"/>
        <v>81</v>
      </c>
      <c r="L41" s="1">
        <f t="shared" si="1"/>
        <v>9</v>
      </c>
    </row>
    <row r="43" spans="7:17" x14ac:dyDescent="0.25">
      <c r="H43" s="6" t="s">
        <v>17</v>
      </c>
      <c r="I43" s="6"/>
      <c r="J43" s="6"/>
      <c r="K43" s="6"/>
      <c r="L43" s="6"/>
      <c r="M43" s="6"/>
      <c r="N43" s="6"/>
      <c r="O43" s="6"/>
      <c r="P43" s="6"/>
      <c r="Q43" s="6"/>
    </row>
    <row r="45" spans="7:17" x14ac:dyDescent="0.25">
      <c r="H45" s="7" t="s">
        <v>9</v>
      </c>
      <c r="I45" s="7" t="s">
        <v>0</v>
      </c>
      <c r="J45" s="7" t="s">
        <v>10</v>
      </c>
      <c r="K45" s="7" t="s">
        <v>2</v>
      </c>
      <c r="L45" s="7" t="s">
        <v>18</v>
      </c>
      <c r="M45" s="7" t="s">
        <v>30</v>
      </c>
      <c r="N45" s="5"/>
    </row>
    <row r="46" spans="7:17" x14ac:dyDescent="0.25">
      <c r="H46" s="1">
        <v>1</v>
      </c>
      <c r="I46" s="1">
        <v>101</v>
      </c>
      <c r="J46" s="1">
        <v>2</v>
      </c>
      <c r="K46" s="1">
        <v>120</v>
      </c>
      <c r="L46" s="1">
        <f>J46*K46</f>
        <v>240</v>
      </c>
      <c r="M46" s="1">
        <f>MAX(L46:L51)</f>
        <v>1100</v>
      </c>
    </row>
    <row r="47" spans="7:17" x14ac:dyDescent="0.25">
      <c r="H47" s="1">
        <v>2</v>
      </c>
      <c r="I47" s="1">
        <v>103</v>
      </c>
      <c r="J47" s="1">
        <v>1</v>
      </c>
      <c r="K47" s="1">
        <v>150</v>
      </c>
      <c r="L47" s="1">
        <f t="shared" ref="L47:L51" si="2">J47*K47</f>
        <v>150</v>
      </c>
      <c r="M47" s="1"/>
    </row>
    <row r="48" spans="7:17" x14ac:dyDescent="0.25">
      <c r="H48" s="1">
        <v>3</v>
      </c>
      <c r="I48" s="1">
        <v>105</v>
      </c>
      <c r="J48" s="1">
        <v>4</v>
      </c>
      <c r="K48" s="1">
        <v>200</v>
      </c>
      <c r="L48" s="1">
        <f t="shared" si="2"/>
        <v>800</v>
      </c>
      <c r="M48" s="1"/>
    </row>
    <row r="49" spans="1:14" x14ac:dyDescent="0.25">
      <c r="H49" s="1">
        <v>4</v>
      </c>
      <c r="I49" s="1">
        <v>106</v>
      </c>
      <c r="J49" s="1">
        <v>3</v>
      </c>
      <c r="K49" s="1">
        <v>90</v>
      </c>
      <c r="L49" s="1">
        <f t="shared" si="2"/>
        <v>270</v>
      </c>
      <c r="M49" s="1"/>
    </row>
    <row r="50" spans="1:14" x14ac:dyDescent="0.25">
      <c r="H50" s="1">
        <v>5</v>
      </c>
      <c r="I50" s="1">
        <v>102</v>
      </c>
      <c r="J50" s="1">
        <v>5</v>
      </c>
      <c r="K50" s="1">
        <v>220</v>
      </c>
      <c r="L50" s="1">
        <f t="shared" si="2"/>
        <v>1100</v>
      </c>
      <c r="M50" s="1"/>
    </row>
    <row r="51" spans="1:14" x14ac:dyDescent="0.25">
      <c r="H51" s="1">
        <v>6</v>
      </c>
      <c r="I51" s="1">
        <v>104</v>
      </c>
      <c r="J51" s="1">
        <v>6</v>
      </c>
      <c r="K51" s="1">
        <v>130</v>
      </c>
      <c r="L51" s="1">
        <f t="shared" si="2"/>
        <v>780</v>
      </c>
      <c r="M51" s="1"/>
    </row>
    <row r="53" spans="1:14" x14ac:dyDescent="0.25">
      <c r="H53" s="6" t="s">
        <v>21</v>
      </c>
      <c r="I53" s="6"/>
      <c r="J53" s="6"/>
      <c r="K53" s="6"/>
      <c r="L53" s="6"/>
      <c r="M53" s="6"/>
      <c r="N53" s="6"/>
    </row>
    <row r="55" spans="1:14" x14ac:dyDescent="0.25">
      <c r="A55" s="7" t="s">
        <v>0</v>
      </c>
      <c r="B55" s="7" t="s">
        <v>1</v>
      </c>
      <c r="C55" s="7" t="s">
        <v>2</v>
      </c>
      <c r="H55" s="7" t="s">
        <v>0</v>
      </c>
      <c r="I55" s="7" t="s">
        <v>1</v>
      </c>
      <c r="J55" s="7" t="s">
        <v>2</v>
      </c>
      <c r="K55" s="7" t="s">
        <v>20</v>
      </c>
    </row>
    <row r="56" spans="1:14" x14ac:dyDescent="0.25">
      <c r="A56" s="1">
        <v>101</v>
      </c>
      <c r="B56" s="1" t="s">
        <v>3</v>
      </c>
      <c r="C56" s="1">
        <v>120</v>
      </c>
      <c r="H56" s="1">
        <v>101</v>
      </c>
      <c r="I56" s="1" t="s">
        <v>3</v>
      </c>
      <c r="J56" s="1">
        <v>120</v>
      </c>
      <c r="K56" s="1" t="str">
        <f>IF(ISNA(VLOOKUP(H56,Product!$A$1:$C$7,1,FALSE)),"Not Order","Ordered")</f>
        <v>Ordered</v>
      </c>
    </row>
    <row r="57" spans="1:14" x14ac:dyDescent="0.25">
      <c r="A57" s="1">
        <v>102</v>
      </c>
      <c r="B57" s="1" t="s">
        <v>4</v>
      </c>
      <c r="C57" s="1">
        <v>150</v>
      </c>
      <c r="H57" s="1">
        <v>102</v>
      </c>
      <c r="I57" s="1" t="s">
        <v>4</v>
      </c>
      <c r="J57" s="1">
        <v>150</v>
      </c>
      <c r="K57" s="1" t="str">
        <f>IF(ISNA(VLOOKUP(H57,Product!$A$1:$C$7,1,FALSE)),"Not Order","Ordered")</f>
        <v>Ordered</v>
      </c>
    </row>
    <row r="58" spans="1:14" x14ac:dyDescent="0.25">
      <c r="A58" s="1">
        <v>103</v>
      </c>
      <c r="B58" s="1" t="s">
        <v>5</v>
      </c>
      <c r="C58" s="1">
        <v>200</v>
      </c>
      <c r="H58" s="1">
        <v>103</v>
      </c>
      <c r="I58" s="1" t="s">
        <v>5</v>
      </c>
      <c r="J58" s="1">
        <v>200</v>
      </c>
      <c r="K58" s="1" t="str">
        <f>IF(ISNA(VLOOKUP(H58,Product!$A$1:$C$7,1,FALSE)),"Not Order","Ordered")</f>
        <v>Ordered</v>
      </c>
    </row>
    <row r="59" spans="1:14" x14ac:dyDescent="0.25">
      <c r="A59" s="1">
        <v>104</v>
      </c>
      <c r="B59" s="1" t="s">
        <v>6</v>
      </c>
      <c r="C59" s="1">
        <v>90</v>
      </c>
      <c r="H59" s="1">
        <v>104</v>
      </c>
      <c r="I59" s="1" t="s">
        <v>6</v>
      </c>
      <c r="J59" s="1">
        <v>90</v>
      </c>
      <c r="K59" s="1" t="str">
        <f>IF(ISNA(VLOOKUP(H59,Product!$A$1:$C$7,1,FALSE)),"Not Order","Ordered")</f>
        <v>Ordered</v>
      </c>
    </row>
    <row r="60" spans="1:14" x14ac:dyDescent="0.25">
      <c r="A60" s="1">
        <v>105</v>
      </c>
      <c r="B60" s="1" t="s">
        <v>7</v>
      </c>
      <c r="C60" s="1">
        <v>220</v>
      </c>
      <c r="H60" s="1">
        <v>105</v>
      </c>
      <c r="I60" s="1" t="s">
        <v>7</v>
      </c>
      <c r="J60" s="1">
        <v>220</v>
      </c>
      <c r="K60" s="1" t="str">
        <f>IF(ISNA(VLOOKUP(H60,Product!$A$1:$C$7,1,FALSE)),"Not Order","Ordered")</f>
        <v>Ordered</v>
      </c>
    </row>
    <row r="61" spans="1:14" x14ac:dyDescent="0.25">
      <c r="A61" s="1">
        <v>106</v>
      </c>
      <c r="B61" s="1" t="s">
        <v>8</v>
      </c>
      <c r="C61" s="1">
        <v>130</v>
      </c>
      <c r="H61" s="1">
        <v>106</v>
      </c>
      <c r="I61" s="1" t="s">
        <v>8</v>
      </c>
      <c r="J61" s="1">
        <v>130</v>
      </c>
      <c r="K61" s="1" t="str">
        <f>IF(ISNA(VLOOKUP(H61,Product!$A$1:$C$7,1,FALSE)),"Not Order","Ordered")</f>
        <v>Ordered</v>
      </c>
    </row>
    <row r="62" spans="1:14" x14ac:dyDescent="0.25">
      <c r="A62" s="1">
        <v>107</v>
      </c>
      <c r="B62" s="1" t="s">
        <v>19</v>
      </c>
      <c r="C62" s="1">
        <v>330</v>
      </c>
      <c r="H62" s="1">
        <v>107</v>
      </c>
      <c r="I62" s="1" t="s">
        <v>19</v>
      </c>
      <c r="J62" s="1">
        <v>330</v>
      </c>
      <c r="K62" s="1" t="str">
        <f>IF(ISNA(VLOOKUP(H62,Product!$A$1:$C$7,1,FALSE)),"Not Order","Ordered")</f>
        <v>Not Order</v>
      </c>
    </row>
    <row r="63" spans="1:14" ht="17.25" customHeight="1" x14ac:dyDescent="0.25"/>
    <row r="64" spans="1:14" ht="20.25" customHeight="1" x14ac:dyDescent="0.25">
      <c r="G64" s="3"/>
      <c r="H64" s="6" t="s">
        <v>31</v>
      </c>
      <c r="I64" s="6"/>
      <c r="J64" s="6"/>
      <c r="K64" s="6"/>
      <c r="L64" s="6"/>
      <c r="M64" s="6"/>
    </row>
    <row r="65" spans="8:19" x14ac:dyDescent="0.25">
      <c r="H65" s="2"/>
    </row>
    <row r="66" spans="8:19" x14ac:dyDescent="0.25">
      <c r="H66" s="7" t="s">
        <v>9</v>
      </c>
      <c r="I66" s="7" t="s">
        <v>0</v>
      </c>
      <c r="J66" s="7" t="s">
        <v>23</v>
      </c>
      <c r="K66" s="7" t="s">
        <v>2</v>
      </c>
      <c r="L66" s="7" t="s">
        <v>24</v>
      </c>
      <c r="M66" s="7" t="s">
        <v>25</v>
      </c>
    </row>
    <row r="67" spans="8:19" x14ac:dyDescent="0.25">
      <c r="H67" s="1">
        <v>1</v>
      </c>
      <c r="I67" s="1">
        <v>101</v>
      </c>
      <c r="J67" s="1" t="str">
        <f>VLOOKUP(I67,Product!$A$1:$C$7,2,FALSE)</f>
        <v>Product A</v>
      </c>
      <c r="K67" s="1">
        <f>VLOOKUP(I67,Product!$A$1:$C$7,3,FALSE)</f>
        <v>120</v>
      </c>
      <c r="L67" s="1">
        <f>VLOOKUP(I67,$B$1:$C$7,2,FALSE)</f>
        <v>2</v>
      </c>
      <c r="M67" s="1">
        <f>L67*K67</f>
        <v>240</v>
      </c>
    </row>
    <row r="68" spans="8:19" x14ac:dyDescent="0.25">
      <c r="H68" s="1">
        <v>2</v>
      </c>
      <c r="I68" s="1">
        <v>103</v>
      </c>
      <c r="J68" s="1" t="str">
        <f>VLOOKUP(I68,Product!$A$1:$C$7,2,FALSE)</f>
        <v>Product C</v>
      </c>
      <c r="K68" s="1">
        <f>VLOOKUP(I68,Product!$A$1:$C$7,3,FALSE)</f>
        <v>200</v>
      </c>
      <c r="L68" s="1">
        <f t="shared" ref="L68:L73" si="3">VLOOKUP(I68,$B$1:$C$7,2,FALSE)</f>
        <v>1</v>
      </c>
      <c r="M68" s="1">
        <f t="shared" ref="M68:M73" si="4">L68*K68</f>
        <v>200</v>
      </c>
    </row>
    <row r="69" spans="8:19" x14ac:dyDescent="0.25">
      <c r="H69" s="1">
        <v>3</v>
      </c>
      <c r="I69" s="1">
        <v>105</v>
      </c>
      <c r="J69" s="1" t="str">
        <f>VLOOKUP(I69,Product!$A$1:$C$7,2,FALSE)</f>
        <v>Product E</v>
      </c>
      <c r="K69" s="1">
        <f>VLOOKUP(I69,Product!$A$1:$C$7,3,FALSE)</f>
        <v>220</v>
      </c>
      <c r="L69" s="1">
        <f>VLOOKUP(I69,$B$1:$C$7,2,FALSE)</f>
        <v>4</v>
      </c>
      <c r="M69" s="1">
        <f t="shared" si="4"/>
        <v>880</v>
      </c>
      <c r="O69" s="7" t="s">
        <v>12</v>
      </c>
      <c r="P69" s="7" t="s">
        <v>26</v>
      </c>
      <c r="Q69" s="7" t="s">
        <v>25</v>
      </c>
      <c r="R69" s="8"/>
      <c r="S69" s="8"/>
    </row>
    <row r="70" spans="8:19" x14ac:dyDescent="0.25">
      <c r="H70" s="1">
        <v>4</v>
      </c>
      <c r="I70" s="1">
        <v>106</v>
      </c>
      <c r="J70" s="1" t="str">
        <f>VLOOKUP(I70,Product!$A$1:$C$7,2,FALSE)</f>
        <v>Product F</v>
      </c>
      <c r="K70" s="1">
        <f>VLOOKUP(I70,Product!$A$1:$C$7,3,FALSE)</f>
        <v>130</v>
      </c>
      <c r="L70" s="1">
        <f t="shared" si="3"/>
        <v>3</v>
      </c>
      <c r="M70" s="1">
        <f t="shared" si="4"/>
        <v>390</v>
      </c>
      <c r="O70" s="1" t="s">
        <v>7</v>
      </c>
      <c r="P70" s="1">
        <f>SUMIF(J67:J73,O70,L67:L73)</f>
        <v>12</v>
      </c>
      <c r="Q70" s="1">
        <f>SUMIF(J67:J73,O70,M67:M73)</f>
        <v>2640</v>
      </c>
    </row>
    <row r="71" spans="8:19" x14ac:dyDescent="0.25">
      <c r="H71" s="1">
        <v>5</v>
      </c>
      <c r="I71" s="1">
        <v>102</v>
      </c>
      <c r="J71" s="1" t="str">
        <f>VLOOKUP(I71,Product!$A$1:$C$7,2,FALSE)</f>
        <v>Product B</v>
      </c>
      <c r="K71" s="1">
        <f>VLOOKUP(I71,Product!$A$1:$C$7,3,FALSE)</f>
        <v>150</v>
      </c>
      <c r="L71" s="1">
        <f t="shared" si="3"/>
        <v>5</v>
      </c>
      <c r="M71" s="1">
        <f t="shared" si="4"/>
        <v>750</v>
      </c>
    </row>
    <row r="72" spans="8:19" x14ac:dyDescent="0.25">
      <c r="H72" s="1">
        <v>6</v>
      </c>
      <c r="I72" s="1">
        <v>104</v>
      </c>
      <c r="J72" s="1" t="str">
        <f>VLOOKUP(I72,Product!$A$1:$C$7,2,FALSE)</f>
        <v>Product D</v>
      </c>
      <c r="K72" s="1">
        <f>VLOOKUP(I72,Product!$A$1:$C$7,3,FALSE)</f>
        <v>90</v>
      </c>
      <c r="L72" s="1">
        <f t="shared" si="3"/>
        <v>6</v>
      </c>
      <c r="M72" s="1">
        <f t="shared" si="4"/>
        <v>540</v>
      </c>
    </row>
    <row r="73" spans="8:19" x14ac:dyDescent="0.25">
      <c r="H73" s="1">
        <v>7</v>
      </c>
      <c r="I73" s="1">
        <v>105</v>
      </c>
      <c r="J73" s="1" t="str">
        <f>VLOOKUP(I73,Product!$A$1:$C$7,2,FALSE)</f>
        <v>Product E</v>
      </c>
      <c r="K73" s="1">
        <f>VLOOKUP(I73,Product!$A$1:$C$7,3,FALSE)</f>
        <v>220</v>
      </c>
      <c r="L73" s="1">
        <v>8</v>
      </c>
      <c r="M73" s="1">
        <f t="shared" si="4"/>
        <v>1760</v>
      </c>
    </row>
  </sheetData>
  <dataValidations count="1">
    <dataValidation type="list" allowBlank="1" showInputMessage="1" showErrorMessage="1" sqref="O70" xr:uid="{A1C32C83-B47E-4EFB-9547-DA9ECE209FB9}">
      <formula1>$B$56:$B$61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SUCHANA GHOSH</dc:creator>
  <cp:lastModifiedBy>SUCHANA GHOSH</cp:lastModifiedBy>
  <dcterms:created xsi:type="dcterms:W3CDTF">2026-05-21T15:36:49Z</dcterms:created>
  <dcterms:modified xsi:type="dcterms:W3CDTF">2026-05-23T10:20:06Z</dcterms:modified>
</cp:coreProperties>
</file>